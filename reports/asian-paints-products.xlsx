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an Paints" sheetId="1" state="visible" r:id="rId1"/>
  </sheets>
  <definedNames>
    <definedName name="_xlnm._FilterDatabase" localSheetId="0" hidden="1">'Asian Paints'!$A$4:$J$58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808080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9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0" fontId="5" fillId="3" borderId="1" applyAlignment="1" pivotButton="0" quotePrefix="0" xfId="0">
      <alignment horizontal="center"/>
    </xf>
    <xf numFmtId="164" fontId="5" fillId="0" borderId="1" pivotButton="0" quotePrefix="0" xfId="0"/>
    <xf numFmtId="9" fontId="5" fillId="0" borderId="1" applyAlignment="1" pivotButton="0" quotePrefix="0" xfId="0">
      <alignment horizontal="center"/>
    </xf>
    <xf numFmtId="0" fontId="6" fillId="0" borderId="0" pivotButton="0" quotePrefix="0" xfId="0"/>
    <xf numFmtId="164" fontId="6" fillId="0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7" customWidth="1" min="3" max="3"/>
    <col width="22" customWidth="1" min="4" max="4"/>
    <col width="10" customWidth="1" min="5" max="5"/>
    <col width="11" customWidth="1" min="6" max="6"/>
    <col width="11" customWidth="1" min="7" max="7"/>
    <col width="8" customWidth="1" min="8" max="8"/>
    <col width="13" customWidth="1" min="9" max="9"/>
    <col width="13" customWidth="1" min="10" max="10"/>
  </cols>
  <sheetData>
    <row r="1">
      <c r="A1" s="1" t="inlineStr">
        <is>
          <t>Asian Paints — product list</t>
        </is>
      </c>
    </row>
    <row r="2">
      <c r="A2" s="2" t="inlineStr">
        <is>
          <t>Quoin catalogue, 22 October 2026. Prices are GST-inclusive, in rupees.</t>
        </is>
      </c>
    </row>
    <row r="4" ht="28" customHeight="1">
      <c r="A4" s="3" t="inlineStr">
        <is>
          <t>#</t>
        </is>
      </c>
      <c r="B4" s="3" t="inlineStr">
        <is>
          <t>Product name</t>
        </is>
      </c>
      <c r="C4" s="3" t="inlineStr">
        <is>
          <t>SKU</t>
        </is>
      </c>
      <c r="D4" s="3" t="inlineStr">
        <is>
          <t>Category</t>
        </is>
      </c>
      <c r="E4" s="3" t="inlineStr">
        <is>
          <t>Status</t>
        </is>
      </c>
      <c r="F4" s="3" t="inlineStr">
        <is>
          <t>Price (Rs)</t>
        </is>
      </c>
      <c r="G4" s="3" t="inlineStr">
        <is>
          <t>MRP (Rs)</t>
        </is>
      </c>
      <c r="H4" s="3" t="inlineStr">
        <is>
          <t>GST %</t>
        </is>
      </c>
      <c r="I4" s="3" t="inlineStr">
        <is>
          <t>Priced</t>
        </is>
      </c>
      <c r="J4" s="3" t="inlineStr">
        <is>
          <t>Image</t>
        </is>
      </c>
    </row>
    <row r="5">
      <c r="A5" s="4" t="n">
        <v>1</v>
      </c>
      <c r="B5" s="5" t="inlineStr">
        <is>
          <t>Apcolite All Protek Matt</t>
        </is>
      </c>
      <c r="C5" s="5" t="inlineStr">
        <is>
          <t>INTASIAPCVURZD</t>
        </is>
      </c>
      <c r="D5" s="5" t="inlineStr">
        <is>
          <t>Paints &amp; finishes</t>
        </is>
      </c>
      <c r="E5" s="4" t="inlineStr">
        <is>
          <t>Live</t>
        </is>
      </c>
      <c r="F5" s="6" t="n">
        <v>420</v>
      </c>
      <c r="G5" s="6" t="n">
        <v>420</v>
      </c>
      <c r="H5" s="7" t="n">
        <v>0.18</v>
      </c>
      <c r="I5" s="5" t="inlineStr">
        <is>
          <t>Per piece</t>
        </is>
      </c>
      <c r="J5" s="4" t="inlineStr">
        <is>
          <t>Photograph</t>
        </is>
      </c>
    </row>
    <row r="6">
      <c r="A6" s="4" t="n">
        <v>2</v>
      </c>
      <c r="B6" s="5" t="inlineStr">
        <is>
          <t>Apcolite Premium Emulsion</t>
        </is>
      </c>
      <c r="C6" s="5" t="inlineStr">
        <is>
          <t>INTASIAPC07MV8</t>
        </is>
      </c>
      <c r="D6" s="5" t="inlineStr">
        <is>
          <t>Paints &amp; finishes</t>
        </is>
      </c>
      <c r="E6" s="4" t="inlineStr">
        <is>
          <t>Live</t>
        </is>
      </c>
      <c r="F6" s="6" t="n">
        <v>364</v>
      </c>
      <c r="G6" s="6" t="n">
        <v>364</v>
      </c>
      <c r="H6" s="7" t="n">
        <v>0.18</v>
      </c>
      <c r="I6" s="5" t="inlineStr">
        <is>
          <t>Per piece</t>
        </is>
      </c>
      <c r="J6" s="4" t="inlineStr">
        <is>
          <t>Photograph</t>
        </is>
      </c>
    </row>
    <row r="7">
      <c r="A7" s="4" t="n">
        <v>3</v>
      </c>
      <c r="B7" s="5" t="inlineStr">
        <is>
          <t>Asian Paints Ace, Base White</t>
        </is>
      </c>
      <c r="C7" s="5" t="inlineStr">
        <is>
          <t>47YBJ</t>
        </is>
      </c>
      <c r="D7" s="5" t="inlineStr">
        <is>
          <t>Paints &amp; finishes</t>
        </is>
      </c>
      <c r="E7" s="4" t="inlineStr">
        <is>
          <t>Live</t>
        </is>
      </c>
      <c r="F7" s="6" t="n">
        <v>220</v>
      </c>
      <c r="G7" s="6" t="n">
        <v>220</v>
      </c>
      <c r="H7" s="7" t="n">
        <v>0.18</v>
      </c>
      <c r="I7" s="5" t="inlineStr">
        <is>
          <t>Per piece</t>
        </is>
      </c>
      <c r="J7" s="4" t="inlineStr">
        <is>
          <t>Photograph</t>
        </is>
      </c>
    </row>
    <row r="8">
      <c r="A8" s="4" t="n">
        <v>4</v>
      </c>
      <c r="B8" s="5" t="inlineStr">
        <is>
          <t>Asian Paints Ace, Colour</t>
        </is>
      </c>
      <c r="C8" s="5" t="inlineStr">
        <is>
          <t>ZNB7D</t>
        </is>
      </c>
      <c r="D8" s="5" t="inlineStr">
        <is>
          <t>Paints &amp; finishes</t>
        </is>
      </c>
      <c r="E8" s="4" t="inlineStr">
        <is>
          <t>Live</t>
        </is>
      </c>
      <c r="F8" s="6" t="n">
        <v>240</v>
      </c>
      <c r="G8" s="6" t="n">
        <v>240</v>
      </c>
      <c r="H8" s="7" t="n">
        <v>0.18</v>
      </c>
      <c r="I8" s="5" t="inlineStr">
        <is>
          <t>Per piece</t>
        </is>
      </c>
      <c r="J8" s="4" t="inlineStr">
        <is>
          <t>Photograph</t>
        </is>
      </c>
    </row>
    <row r="9">
      <c r="A9" s="4" t="n">
        <v>5</v>
      </c>
      <c r="B9" s="5" t="inlineStr">
        <is>
          <t>Asian Paints Apcolite Premium Glossy Enamel</t>
        </is>
      </c>
      <c r="C9" s="5" t="inlineStr">
        <is>
          <t>YNTBR</t>
        </is>
      </c>
      <c r="D9" s="5" t="inlineStr">
        <is>
          <t>Paints &amp; finishes</t>
        </is>
      </c>
      <c r="E9" s="4" t="inlineStr">
        <is>
          <t>Live</t>
        </is>
      </c>
      <c r="F9" s="6" t="n">
        <v>330</v>
      </c>
      <c r="G9" s="6" t="n">
        <v>330</v>
      </c>
      <c r="H9" s="7" t="n">
        <v>0.18</v>
      </c>
      <c r="I9" s="5" t="inlineStr">
        <is>
          <t>Per piece</t>
        </is>
      </c>
      <c r="J9" s="4" t="inlineStr">
        <is>
          <t>Photograph</t>
        </is>
      </c>
    </row>
    <row r="10">
      <c r="A10" s="4" t="n">
        <v>6</v>
      </c>
      <c r="B10" s="5" t="inlineStr">
        <is>
          <t>Asian Paints Apex Ultima Protek, Base White</t>
        </is>
      </c>
      <c r="C10" s="5" t="inlineStr">
        <is>
          <t>2K88T</t>
        </is>
      </c>
      <c r="D10" s="5" t="inlineStr">
        <is>
          <t>Paints &amp; finishes</t>
        </is>
      </c>
      <c r="E10" s="4" t="inlineStr">
        <is>
          <t>Live</t>
        </is>
      </c>
      <c r="F10" s="6" t="n">
        <v>626</v>
      </c>
      <c r="G10" s="6" t="n">
        <v>626</v>
      </c>
      <c r="H10" s="7" t="n">
        <v>0.18</v>
      </c>
      <c r="I10" s="5" t="inlineStr">
        <is>
          <t>Per piece</t>
        </is>
      </c>
      <c r="J10" s="4" t="inlineStr">
        <is>
          <t>Photograph</t>
        </is>
      </c>
    </row>
    <row r="11">
      <c r="A11" s="4" t="n">
        <v>7</v>
      </c>
      <c r="B11" s="5" t="inlineStr">
        <is>
          <t>Asian Paints Apex Ultima Protek, Colour</t>
        </is>
      </c>
      <c r="C11" s="5" t="inlineStr">
        <is>
          <t>7DNGM</t>
        </is>
      </c>
      <c r="D11" s="5" t="inlineStr">
        <is>
          <t>Paints &amp; finishes</t>
        </is>
      </c>
      <c r="E11" s="4" t="inlineStr">
        <is>
          <t>Live</t>
        </is>
      </c>
      <c r="F11" s="6" t="n">
        <v>647</v>
      </c>
      <c r="G11" s="6" t="n">
        <v>647</v>
      </c>
      <c r="H11" s="7" t="n">
        <v>0.18</v>
      </c>
      <c r="I11" s="5" t="inlineStr">
        <is>
          <t>Per piece</t>
        </is>
      </c>
      <c r="J11" s="4" t="inlineStr">
        <is>
          <t>Photograph</t>
        </is>
      </c>
    </row>
    <row r="12">
      <c r="A12" s="4" t="n">
        <v>8</v>
      </c>
      <c r="B12" s="5" t="inlineStr">
        <is>
          <t>Asian Paints Apex Ultima, Base White</t>
        </is>
      </c>
      <c r="C12" s="5" t="inlineStr">
        <is>
          <t>2MEPU</t>
        </is>
      </c>
      <c r="D12" s="5" t="inlineStr">
        <is>
          <t>Paints &amp; finishes</t>
        </is>
      </c>
      <c r="E12" s="4" t="inlineStr">
        <is>
          <t>Live</t>
        </is>
      </c>
      <c r="F12" s="6" t="n">
        <v>545</v>
      </c>
      <c r="G12" s="6" t="n">
        <v>545</v>
      </c>
      <c r="H12" s="7" t="n">
        <v>0.18</v>
      </c>
      <c r="I12" s="5" t="inlineStr">
        <is>
          <t>Per piece</t>
        </is>
      </c>
      <c r="J12" s="4" t="inlineStr">
        <is>
          <t>Photograph</t>
        </is>
      </c>
    </row>
    <row r="13">
      <c r="A13" s="4" t="n">
        <v>9</v>
      </c>
      <c r="B13" s="5" t="inlineStr">
        <is>
          <t>Asian Paints Apex Ultima, Colour</t>
        </is>
      </c>
      <c r="C13" s="5" t="inlineStr">
        <is>
          <t>LWCHF</t>
        </is>
      </c>
      <c r="D13" s="5" t="inlineStr">
        <is>
          <t>Paints &amp; finishes</t>
        </is>
      </c>
      <c r="E13" s="4" t="inlineStr">
        <is>
          <t>Live</t>
        </is>
      </c>
      <c r="F13" s="6" t="n">
        <v>558</v>
      </c>
      <c r="G13" s="6" t="n">
        <v>558</v>
      </c>
      <c r="H13" s="7" t="n">
        <v>0.18</v>
      </c>
      <c r="I13" s="5" t="inlineStr">
        <is>
          <t>Per piece</t>
        </is>
      </c>
      <c r="J13" s="4" t="inlineStr">
        <is>
          <t>Photograph</t>
        </is>
      </c>
    </row>
    <row r="14">
      <c r="A14" s="4" t="n">
        <v>10</v>
      </c>
      <c r="B14" s="5" t="inlineStr">
        <is>
          <t>Asian Paints Apex, Base White</t>
        </is>
      </c>
      <c r="C14" s="5" t="inlineStr">
        <is>
          <t>ET9RL</t>
        </is>
      </c>
      <c r="D14" s="5" t="inlineStr">
        <is>
          <t>Paints &amp; finishes</t>
        </is>
      </c>
      <c r="E14" s="4" t="inlineStr">
        <is>
          <t>Live</t>
        </is>
      </c>
      <c r="F14" s="6" t="n">
        <v>357</v>
      </c>
      <c r="G14" s="6" t="n">
        <v>357</v>
      </c>
      <c r="H14" s="7" t="n">
        <v>0.18</v>
      </c>
      <c r="I14" s="5" t="inlineStr">
        <is>
          <t>Per piece</t>
        </is>
      </c>
      <c r="J14" s="4" t="inlineStr">
        <is>
          <t>Photograph</t>
        </is>
      </c>
    </row>
    <row r="15">
      <c r="A15" s="4" t="n">
        <v>11</v>
      </c>
      <c r="B15" s="5" t="inlineStr">
        <is>
          <t>Asian Paints Apex, Colour</t>
        </is>
      </c>
      <c r="C15" s="5" t="inlineStr">
        <is>
          <t>Z49HF</t>
        </is>
      </c>
      <c r="D15" s="5" t="inlineStr">
        <is>
          <t>Paints &amp; finishes</t>
        </is>
      </c>
      <c r="E15" s="4" t="inlineStr">
        <is>
          <t>Live</t>
        </is>
      </c>
      <c r="F15" s="6" t="n">
        <v>378</v>
      </c>
      <c r="G15" s="6" t="n">
        <v>378</v>
      </c>
      <c r="H15" s="7" t="n">
        <v>0.18</v>
      </c>
      <c r="I15" s="5" t="inlineStr">
        <is>
          <t>Per piece</t>
        </is>
      </c>
      <c r="J15" s="4" t="inlineStr">
        <is>
          <t>Photograph</t>
        </is>
      </c>
    </row>
    <row r="16">
      <c r="A16" s="4" t="n">
        <v>12</v>
      </c>
      <c r="B16" s="5" t="inlineStr">
        <is>
          <t>Asian Paints Premium Emulsion Paints, Base White</t>
        </is>
      </c>
      <c r="C16" s="5" t="inlineStr">
        <is>
          <t>Q87VE</t>
        </is>
      </c>
      <c r="D16" s="5" t="inlineStr">
        <is>
          <t>Paints &amp; finishes</t>
        </is>
      </c>
      <c r="E16" s="4" t="inlineStr">
        <is>
          <t>Live</t>
        </is>
      </c>
      <c r="F16" s="6" t="n">
        <v>353</v>
      </c>
      <c r="G16" s="6" t="n">
        <v>353</v>
      </c>
      <c r="H16" s="7" t="n">
        <v>0.18</v>
      </c>
      <c r="I16" s="5" t="inlineStr">
        <is>
          <t>Per piece</t>
        </is>
      </c>
      <c r="J16" s="4" t="inlineStr">
        <is>
          <t>Photograph</t>
        </is>
      </c>
    </row>
    <row r="17">
      <c r="A17" s="4" t="n">
        <v>13</v>
      </c>
      <c r="B17" s="5" t="inlineStr">
        <is>
          <t>Asian Paints Premium Emulsion Paints, Colour</t>
        </is>
      </c>
      <c r="C17" s="5" t="inlineStr">
        <is>
          <t>9KXFQ</t>
        </is>
      </c>
      <c r="D17" s="5" t="inlineStr">
        <is>
          <t>Paints &amp; finishes</t>
        </is>
      </c>
      <c r="E17" s="4" t="inlineStr">
        <is>
          <t>Live</t>
        </is>
      </c>
      <c r="F17" s="6" t="n">
        <v>378</v>
      </c>
      <c r="G17" s="6" t="n">
        <v>378</v>
      </c>
      <c r="H17" s="7" t="n">
        <v>0.18</v>
      </c>
      <c r="I17" s="5" t="inlineStr">
        <is>
          <t>Per piece</t>
        </is>
      </c>
      <c r="J17" s="4" t="inlineStr">
        <is>
          <t>Photograph</t>
        </is>
      </c>
    </row>
    <row r="18">
      <c r="A18" s="4" t="n">
        <v>14</v>
      </c>
      <c r="B18" s="5" t="inlineStr">
        <is>
          <t>Asian Paints Royale Luxury Emulsion, Base White</t>
        </is>
      </c>
      <c r="C18" s="5" t="inlineStr">
        <is>
          <t>6EVN5</t>
        </is>
      </c>
      <c r="D18" s="5" t="inlineStr">
        <is>
          <t>Paints &amp; finishes</t>
        </is>
      </c>
      <c r="E18" s="4" t="inlineStr">
        <is>
          <t>Live</t>
        </is>
      </c>
      <c r="F18" s="6" t="n">
        <v>618</v>
      </c>
      <c r="G18" s="6" t="n">
        <v>618</v>
      </c>
      <c r="H18" s="7" t="n">
        <v>0.18</v>
      </c>
      <c r="I18" s="5" t="inlineStr">
        <is>
          <t>Per piece</t>
        </is>
      </c>
      <c r="J18" s="4" t="inlineStr">
        <is>
          <t>Photograph</t>
        </is>
      </c>
    </row>
    <row r="19">
      <c r="A19" s="4" t="n">
        <v>15</v>
      </c>
      <c r="B19" s="5" t="inlineStr">
        <is>
          <t>Asian Paints Royale Luxury Emulsion, Colour</t>
        </is>
      </c>
      <c r="C19" s="5" t="inlineStr">
        <is>
          <t>DLKPD</t>
        </is>
      </c>
      <c r="D19" s="5" t="inlineStr">
        <is>
          <t>Paints &amp; finishes</t>
        </is>
      </c>
      <c r="E19" s="4" t="inlineStr">
        <is>
          <t>Live</t>
        </is>
      </c>
      <c r="F19" s="6" t="n">
        <v>647</v>
      </c>
      <c r="G19" s="6" t="n">
        <v>647</v>
      </c>
      <c r="H19" s="7" t="n">
        <v>0.18</v>
      </c>
      <c r="I19" s="5" t="inlineStr">
        <is>
          <t>Per piece</t>
        </is>
      </c>
      <c r="J19" s="4" t="inlineStr">
        <is>
          <t>Photograph</t>
        </is>
      </c>
    </row>
    <row r="20">
      <c r="A20" s="4" t="n">
        <v>16</v>
      </c>
      <c r="B20" s="5" t="inlineStr">
        <is>
          <t>Asian Paints Tractor Emulsion, Base White</t>
        </is>
      </c>
      <c r="C20" s="5" t="inlineStr">
        <is>
          <t>3VV8F</t>
        </is>
      </c>
      <c r="D20" s="5" t="inlineStr">
        <is>
          <t>Paints &amp; finishes</t>
        </is>
      </c>
      <c r="E20" s="4" t="inlineStr">
        <is>
          <t>Live</t>
        </is>
      </c>
      <c r="F20" s="6" t="n">
        <v>190</v>
      </c>
      <c r="G20" s="6" t="n">
        <v>190</v>
      </c>
      <c r="H20" s="7" t="n">
        <v>0.18</v>
      </c>
      <c r="I20" s="5" t="inlineStr">
        <is>
          <t>Per piece</t>
        </is>
      </c>
      <c r="J20" s="4" t="inlineStr">
        <is>
          <t>Photograph</t>
        </is>
      </c>
    </row>
    <row r="21">
      <c r="A21" s="4" t="n">
        <v>17</v>
      </c>
      <c r="B21" s="5" t="inlineStr">
        <is>
          <t>Asian Paints Tractor Emulsion, Colour</t>
        </is>
      </c>
      <c r="C21" s="5" t="inlineStr">
        <is>
          <t>77HVD</t>
        </is>
      </c>
      <c r="D21" s="5" t="inlineStr">
        <is>
          <t>Paints &amp; finishes</t>
        </is>
      </c>
      <c r="E21" s="4" t="inlineStr">
        <is>
          <t>Live</t>
        </is>
      </c>
      <c r="F21" s="6" t="n">
        <v>215</v>
      </c>
      <c r="G21" s="6" t="n">
        <v>215</v>
      </c>
      <c r="H21" s="7" t="n">
        <v>0.18</v>
      </c>
      <c r="I21" s="5" t="inlineStr">
        <is>
          <t>Per piece</t>
        </is>
      </c>
      <c r="J21" s="4" t="inlineStr">
        <is>
          <t>Photograph</t>
        </is>
      </c>
    </row>
    <row r="22">
      <c r="A22" s="4" t="n">
        <v>18</v>
      </c>
      <c r="B22" s="5" t="inlineStr">
        <is>
          <t>Asian Paints TruCare Acrylic Wall Putty</t>
        </is>
      </c>
      <c r="C22" s="5" t="inlineStr">
        <is>
          <t>SJY9N</t>
        </is>
      </c>
      <c r="D22" s="5" t="inlineStr">
        <is>
          <t>Paints &amp; finishes</t>
        </is>
      </c>
      <c r="E22" s="4" t="inlineStr">
        <is>
          <t>Live</t>
        </is>
      </c>
      <c r="F22" s="6" t="n">
        <v>85</v>
      </c>
      <c r="G22" s="6" t="n">
        <v>85</v>
      </c>
      <c r="H22" s="7" t="n">
        <v>0.18</v>
      </c>
      <c r="I22" s="5" t="inlineStr">
        <is>
          <t>Per piece</t>
        </is>
      </c>
      <c r="J22" s="4" t="inlineStr">
        <is>
          <t>Photograph</t>
        </is>
      </c>
    </row>
    <row r="23">
      <c r="A23" s="4" t="n">
        <v>19</v>
      </c>
      <c r="B23" s="5" t="inlineStr">
        <is>
          <t>Asian Paints TruCare Exterior Wall Primer, Water Thinnable, 20 Litre Bucket</t>
        </is>
      </c>
      <c r="C23" s="5" t="inlineStr">
        <is>
          <t>EZ5DF</t>
        </is>
      </c>
      <c r="D23" s="5" t="inlineStr">
        <is>
          <t>Paints &amp; finishes</t>
        </is>
      </c>
      <c r="E23" s="4" t="inlineStr">
        <is>
          <t>Live</t>
        </is>
      </c>
      <c r="F23" s="6" t="n">
        <v>3600</v>
      </c>
      <c r="G23" s="6" t="n">
        <v>3600</v>
      </c>
      <c r="H23" s="7" t="n">
        <v>0.18</v>
      </c>
      <c r="I23" s="5" t="inlineStr">
        <is>
          <t>Per piece</t>
        </is>
      </c>
      <c r="J23" s="4" t="inlineStr">
        <is>
          <t>Photograph</t>
        </is>
      </c>
    </row>
    <row r="24">
      <c r="A24" s="4" t="n">
        <v>20</v>
      </c>
      <c r="B24" s="5" t="inlineStr">
        <is>
          <t>Asian Paints TruCare Interior Wall Primer, Water Thinnable, 20 Litre Bucket</t>
        </is>
      </c>
      <c r="C24" s="5" t="inlineStr">
        <is>
          <t>N9EKD</t>
        </is>
      </c>
      <c r="D24" s="5" t="inlineStr">
        <is>
          <t>Paints &amp; finishes</t>
        </is>
      </c>
      <c r="E24" s="4" t="inlineStr">
        <is>
          <t>Live</t>
        </is>
      </c>
      <c r="F24" s="6" t="n">
        <v>3250</v>
      </c>
      <c r="G24" s="6" t="n">
        <v>3250</v>
      </c>
      <c r="H24" s="7" t="n">
        <v>0.18</v>
      </c>
      <c r="I24" s="5" t="inlineStr">
        <is>
          <t>Per piece</t>
        </is>
      </c>
      <c r="J24" s="4" t="inlineStr">
        <is>
          <t>Photograph</t>
        </is>
      </c>
    </row>
    <row r="25">
      <c r="A25" s="4" t="n">
        <v>21</v>
      </c>
      <c r="B25" s="5" t="inlineStr">
        <is>
          <t>Asian Paints TruCare Wall Putty, 40 Kg Bag</t>
        </is>
      </c>
      <c r="C25" s="5" t="inlineStr">
        <is>
          <t>6WZ8M</t>
        </is>
      </c>
      <c r="D25" s="5" t="inlineStr">
        <is>
          <t>Paints &amp; finishes</t>
        </is>
      </c>
      <c r="E25" s="4" t="inlineStr">
        <is>
          <t>Live</t>
        </is>
      </c>
      <c r="F25" s="6" t="n">
        <v>780</v>
      </c>
      <c r="G25" s="6" t="n">
        <v>780</v>
      </c>
      <c r="H25" s="7" t="n">
        <v>0.18</v>
      </c>
      <c r="I25" s="5" t="inlineStr">
        <is>
          <t>Per bag</t>
        </is>
      </c>
      <c r="J25" s="4" t="inlineStr">
        <is>
          <t>Photograph</t>
        </is>
      </c>
    </row>
    <row r="26">
      <c r="A26" s="4" t="n">
        <v>22</v>
      </c>
      <c r="B26" s="5" t="inlineStr">
        <is>
          <t>Asian Paints TruCare White Wood Primer</t>
        </is>
      </c>
      <c r="C26" s="5" t="inlineStr">
        <is>
          <t>FFNV6</t>
        </is>
      </c>
      <c r="D26" s="5" t="inlineStr">
        <is>
          <t>Paints &amp; finishes</t>
        </is>
      </c>
      <c r="E26" s="4" t="inlineStr">
        <is>
          <t>Live</t>
        </is>
      </c>
      <c r="F26" s="6" t="n">
        <v>249</v>
      </c>
      <c r="G26" s="6" t="n">
        <v>249</v>
      </c>
      <c r="H26" s="7" t="n">
        <v>0.18</v>
      </c>
      <c r="I26" s="5" t="inlineStr">
        <is>
          <t>Per piece</t>
        </is>
      </c>
      <c r="J26" s="4" t="inlineStr">
        <is>
          <t>Photograph</t>
        </is>
      </c>
    </row>
    <row r="27">
      <c r="A27" s="4" t="n">
        <v>23</v>
      </c>
      <c r="B27" s="5" t="inlineStr">
        <is>
          <t>Asian Paints WOODTECH General Purpose Thinner (Turpentile Oil)</t>
        </is>
      </c>
      <c r="C27" s="5" t="inlineStr">
        <is>
          <t>MFXAN</t>
        </is>
      </c>
      <c r="D27" s="5" t="inlineStr">
        <is>
          <t>Paints &amp; finishes</t>
        </is>
      </c>
      <c r="E27" s="4" t="inlineStr">
        <is>
          <t>Live</t>
        </is>
      </c>
      <c r="F27" s="6" t="n">
        <v>160</v>
      </c>
      <c r="G27" s="6" t="n">
        <v>160</v>
      </c>
      <c r="H27" s="7" t="n">
        <v>0.18</v>
      </c>
      <c r="I27" s="5" t="inlineStr">
        <is>
          <t>Per piece</t>
        </is>
      </c>
      <c r="J27" s="4" t="inlineStr">
        <is>
          <t>Photograph</t>
        </is>
      </c>
    </row>
    <row r="28">
      <c r="A28" s="4" t="n">
        <v>24</v>
      </c>
      <c r="B28" s="5" t="inlineStr">
        <is>
          <t>Asian Paints WoodTech Melamyne Glossy</t>
        </is>
      </c>
      <c r="C28" s="5" t="inlineStr">
        <is>
          <t>DJSHS</t>
        </is>
      </c>
      <c r="D28" s="5" t="inlineStr">
        <is>
          <t>Paints &amp; finishes</t>
        </is>
      </c>
      <c r="E28" s="4" t="inlineStr">
        <is>
          <t>Live</t>
        </is>
      </c>
      <c r="F28" s="6" t="n">
        <v>370</v>
      </c>
      <c r="G28" s="6" t="n">
        <v>370</v>
      </c>
      <c r="H28" s="7" t="n">
        <v>0.18</v>
      </c>
      <c r="I28" s="5" t="inlineStr">
        <is>
          <t>Per piece</t>
        </is>
      </c>
      <c r="J28" s="4" t="inlineStr">
        <is>
          <t>Photograph</t>
        </is>
      </c>
    </row>
    <row r="29">
      <c r="A29" s="4" t="n">
        <v>25</v>
      </c>
      <c r="B29" s="5" t="inlineStr">
        <is>
          <t>Asian Paints WoodTech Melamyne Matt</t>
        </is>
      </c>
      <c r="C29" s="5" t="inlineStr">
        <is>
          <t>M2GQK</t>
        </is>
      </c>
      <c r="D29" s="5" t="inlineStr">
        <is>
          <t>Paints &amp; finishes</t>
        </is>
      </c>
      <c r="E29" s="4" t="inlineStr">
        <is>
          <t>Live</t>
        </is>
      </c>
      <c r="F29" s="6" t="n">
        <v>390</v>
      </c>
      <c r="G29" s="6" t="n">
        <v>390</v>
      </c>
      <c r="H29" s="7" t="n">
        <v>0.18</v>
      </c>
      <c r="I29" s="5" t="inlineStr">
        <is>
          <t>Per piece</t>
        </is>
      </c>
      <c r="J29" s="4" t="inlineStr">
        <is>
          <t>Photograph</t>
        </is>
      </c>
    </row>
    <row r="30">
      <c r="A30" s="4" t="n">
        <v>26</v>
      </c>
      <c r="B30" s="5" t="inlineStr">
        <is>
          <t>Asian Paints WoodTech Melamyne Sealer</t>
        </is>
      </c>
      <c r="C30" s="5" t="inlineStr">
        <is>
          <t>6NCZL</t>
        </is>
      </c>
      <c r="D30" s="5" t="inlineStr">
        <is>
          <t>Paints &amp; finishes</t>
        </is>
      </c>
      <c r="E30" s="4" t="inlineStr">
        <is>
          <t>Live</t>
        </is>
      </c>
      <c r="F30" s="6" t="n">
        <v>390</v>
      </c>
      <c r="G30" s="6" t="n">
        <v>390</v>
      </c>
      <c r="H30" s="7" t="n">
        <v>0.18</v>
      </c>
      <c r="I30" s="5" t="inlineStr">
        <is>
          <t>Per piece</t>
        </is>
      </c>
      <c r="J30" s="4" t="inlineStr">
        <is>
          <t>Photograph</t>
        </is>
      </c>
    </row>
    <row r="31">
      <c r="A31" s="4" t="n">
        <v>27</v>
      </c>
      <c r="B31" s="5" t="inlineStr">
        <is>
          <t>Asian Paints WoodTech PU Exterior Glossy</t>
        </is>
      </c>
      <c r="C31" s="5" t="inlineStr">
        <is>
          <t>4AUUJ</t>
        </is>
      </c>
      <c r="D31" s="5" t="inlineStr">
        <is>
          <t>Paints &amp; finishes</t>
        </is>
      </c>
      <c r="E31" s="4" t="inlineStr">
        <is>
          <t>Live</t>
        </is>
      </c>
      <c r="F31" s="6" t="n">
        <v>920</v>
      </c>
      <c r="G31" s="6" t="n">
        <v>920</v>
      </c>
      <c r="H31" s="7" t="n">
        <v>0.18</v>
      </c>
      <c r="I31" s="5" t="inlineStr">
        <is>
          <t>Per piece</t>
        </is>
      </c>
      <c r="J31" s="4" t="inlineStr">
        <is>
          <t>Photograph</t>
        </is>
      </c>
    </row>
    <row r="32">
      <c r="A32" s="4" t="n">
        <v>28</v>
      </c>
      <c r="B32" s="5" t="inlineStr">
        <is>
          <t>Asian Paints WoodTech PU Exterior Matt</t>
        </is>
      </c>
      <c r="C32" s="5" t="inlineStr">
        <is>
          <t>X7P3F</t>
        </is>
      </c>
      <c r="D32" s="5" t="inlineStr">
        <is>
          <t>Paints &amp; finishes</t>
        </is>
      </c>
      <c r="E32" s="4" t="inlineStr">
        <is>
          <t>Live</t>
        </is>
      </c>
      <c r="F32" s="6" t="n">
        <v>900</v>
      </c>
      <c r="G32" s="6" t="n">
        <v>900</v>
      </c>
      <c r="H32" s="7" t="n">
        <v>0.18</v>
      </c>
      <c r="I32" s="5" t="inlineStr">
        <is>
          <t>Per piece</t>
        </is>
      </c>
      <c r="J32" s="4" t="inlineStr">
        <is>
          <t>Photograph</t>
        </is>
      </c>
    </row>
    <row r="33">
      <c r="A33" s="4" t="n">
        <v>29</v>
      </c>
      <c r="B33" s="5" t="inlineStr">
        <is>
          <t>Asian Paints WoodTech PU Exterior Sealer</t>
        </is>
      </c>
      <c r="C33" s="5" t="inlineStr">
        <is>
          <t>69AGB</t>
        </is>
      </c>
      <c r="D33" s="5" t="inlineStr">
        <is>
          <t>Paints &amp; finishes</t>
        </is>
      </c>
      <c r="E33" s="4" t="inlineStr">
        <is>
          <t>Live</t>
        </is>
      </c>
      <c r="F33" s="6" t="n">
        <v>880</v>
      </c>
      <c r="G33" s="6" t="n">
        <v>880</v>
      </c>
      <c r="H33" s="7" t="n">
        <v>0.18</v>
      </c>
      <c r="I33" s="5" t="inlineStr">
        <is>
          <t>Per piece</t>
        </is>
      </c>
      <c r="J33" s="4" t="inlineStr">
        <is>
          <t>Photograph</t>
        </is>
      </c>
    </row>
    <row r="34">
      <c r="A34" s="4" t="n">
        <v>30</v>
      </c>
      <c r="B34" s="5" t="inlineStr">
        <is>
          <t>Asian Paints WoodTech PU Interior Glossy</t>
        </is>
      </c>
      <c r="C34" s="5" t="inlineStr">
        <is>
          <t>Z4YGS</t>
        </is>
      </c>
      <c r="D34" s="5" t="inlineStr">
        <is>
          <t>Paints &amp; finishes</t>
        </is>
      </c>
      <c r="E34" s="4" t="inlineStr">
        <is>
          <t>Live</t>
        </is>
      </c>
      <c r="F34" s="6" t="n">
        <v>800</v>
      </c>
      <c r="G34" s="6" t="n">
        <v>800</v>
      </c>
      <c r="H34" s="7" t="n">
        <v>0.18</v>
      </c>
      <c r="I34" s="5" t="inlineStr">
        <is>
          <t>Per piece</t>
        </is>
      </c>
      <c r="J34" s="4" t="inlineStr">
        <is>
          <t>Photograph</t>
        </is>
      </c>
    </row>
    <row r="35">
      <c r="A35" s="4" t="n">
        <v>31</v>
      </c>
      <c r="B35" s="5" t="inlineStr">
        <is>
          <t>Asian Paints WoodTech PU Interior Matt</t>
        </is>
      </c>
      <c r="C35" s="5" t="inlineStr">
        <is>
          <t>5NWJ2</t>
        </is>
      </c>
      <c r="D35" s="5" t="inlineStr">
        <is>
          <t>Paints &amp; finishes</t>
        </is>
      </c>
      <c r="E35" s="4" t="inlineStr">
        <is>
          <t>Live</t>
        </is>
      </c>
      <c r="F35" s="6" t="n">
        <v>820</v>
      </c>
      <c r="G35" s="6" t="n">
        <v>820</v>
      </c>
      <c r="H35" s="7" t="n">
        <v>0.18</v>
      </c>
      <c r="I35" s="5" t="inlineStr">
        <is>
          <t>Per piece</t>
        </is>
      </c>
      <c r="J35" s="4" t="inlineStr">
        <is>
          <t>Photograph</t>
        </is>
      </c>
    </row>
    <row r="36">
      <c r="A36" s="4" t="n">
        <v>32</v>
      </c>
      <c r="B36" s="5" t="inlineStr">
        <is>
          <t>Asian Paints WoodTech PU Interior Sealer</t>
        </is>
      </c>
      <c r="C36" s="5" t="inlineStr">
        <is>
          <t>Q3X5V</t>
        </is>
      </c>
      <c r="D36" s="5" t="inlineStr">
        <is>
          <t>Paints &amp; finishes</t>
        </is>
      </c>
      <c r="E36" s="4" t="inlineStr">
        <is>
          <t>Live</t>
        </is>
      </c>
      <c r="F36" s="6" t="n">
        <v>810</v>
      </c>
      <c r="G36" s="6" t="n">
        <v>810</v>
      </c>
      <c r="H36" s="7" t="n">
        <v>0.18</v>
      </c>
      <c r="I36" s="5" t="inlineStr">
        <is>
          <t>Per piece</t>
        </is>
      </c>
      <c r="J36" s="4" t="inlineStr">
        <is>
          <t>Photograph</t>
        </is>
      </c>
    </row>
    <row r="37">
      <c r="A37" s="4" t="n">
        <v>33</v>
      </c>
      <c r="B37" s="5" t="inlineStr">
        <is>
          <t>Asian Tractor Uno Acrylic Distemper Paint White-20kg</t>
        </is>
      </c>
      <c r="C37" s="5" t="inlineStr">
        <is>
          <t>9Y5E4</t>
        </is>
      </c>
      <c r="D37" s="5" t="inlineStr">
        <is>
          <t>Paints &amp; finishes</t>
        </is>
      </c>
      <c r="E37" s="4" t="inlineStr">
        <is>
          <t>Live</t>
        </is>
      </c>
      <c r="F37" s="6" t="n">
        <v>980</v>
      </c>
      <c r="G37" s="6" t="n">
        <v>980</v>
      </c>
      <c r="H37" s="7" t="n">
        <v>0.18</v>
      </c>
      <c r="I37" s="5" t="inlineStr">
        <is>
          <t>Per piece</t>
        </is>
      </c>
      <c r="J37" s="4" t="inlineStr">
        <is>
          <t>Photograph</t>
        </is>
      </c>
    </row>
    <row r="38">
      <c r="A38" s="4" t="n">
        <v>34</v>
      </c>
      <c r="B38" s="5" t="inlineStr">
        <is>
          <t>Royale Glitz</t>
        </is>
      </c>
      <c r="C38" s="5" t="inlineStr">
        <is>
          <t>INTASIROYMFTTU</t>
        </is>
      </c>
      <c r="D38" s="5" t="inlineStr">
        <is>
          <t>Paints &amp; finishes</t>
        </is>
      </c>
      <c r="E38" s="4" t="inlineStr">
        <is>
          <t>Live</t>
        </is>
      </c>
      <c r="F38" s="6" t="n">
        <v>707</v>
      </c>
      <c r="G38" s="6" t="n">
        <v>707</v>
      </c>
      <c r="H38" s="7" t="n">
        <v>0.18</v>
      </c>
      <c r="I38" s="5" t="inlineStr">
        <is>
          <t>Per piece</t>
        </is>
      </c>
      <c r="J38" s="4" t="inlineStr">
        <is>
          <t>Photograph</t>
        </is>
      </c>
    </row>
    <row r="39">
      <c r="A39" s="4" t="n">
        <v>35</v>
      </c>
      <c r="B39" s="5" t="inlineStr">
        <is>
          <t>Royale Luxury Emulsion</t>
        </is>
      </c>
      <c r="C39" s="5" t="inlineStr">
        <is>
          <t>INTASIROYGZCI8</t>
        </is>
      </c>
      <c r="D39" s="5" t="inlineStr">
        <is>
          <t>Paints &amp; finishes</t>
        </is>
      </c>
      <c r="E39" s="4" t="inlineStr">
        <is>
          <t>Live</t>
        </is>
      </c>
      <c r="F39" s="6" t="n">
        <v>166</v>
      </c>
      <c r="G39" s="6" t="n">
        <v>166</v>
      </c>
      <c r="H39" s="7" t="n">
        <v>0.18</v>
      </c>
      <c r="I39" s="5" t="inlineStr">
        <is>
          <t>Per piece</t>
        </is>
      </c>
      <c r="J39" s="4" t="inlineStr">
        <is>
          <t>Photograph</t>
        </is>
      </c>
    </row>
    <row r="40">
      <c r="A40" s="4" t="n">
        <v>36</v>
      </c>
      <c r="B40" s="5" t="inlineStr">
        <is>
          <t>Royale Matt</t>
        </is>
      </c>
      <c r="C40" s="5" t="inlineStr">
        <is>
          <t>INTASIROYUWEWK</t>
        </is>
      </c>
      <c r="D40" s="5" t="inlineStr">
        <is>
          <t>Paints &amp; finishes</t>
        </is>
      </c>
      <c r="E40" s="4" t="inlineStr">
        <is>
          <t>Live</t>
        </is>
      </c>
      <c r="F40" s="6" t="n">
        <v>657</v>
      </c>
      <c r="G40" s="6" t="n">
        <v>657</v>
      </c>
      <c r="H40" s="7" t="n">
        <v>0.18</v>
      </c>
      <c r="I40" s="5" t="inlineStr">
        <is>
          <t>Per piece</t>
        </is>
      </c>
      <c r="J40" s="4" t="inlineStr">
        <is>
          <t>Photograph</t>
        </is>
      </c>
    </row>
    <row r="41">
      <c r="A41" s="4" t="n">
        <v>37</v>
      </c>
      <c r="B41" s="5" t="inlineStr">
        <is>
          <t>Royale Shyne Luxury Emulsion</t>
        </is>
      </c>
      <c r="C41" s="5" t="inlineStr">
        <is>
          <t>INTASIROYBYAPD</t>
        </is>
      </c>
      <c r="D41" s="5" t="inlineStr">
        <is>
          <t>Paints &amp; finishes</t>
        </is>
      </c>
      <c r="E41" s="4" t="inlineStr">
        <is>
          <t>Live</t>
        </is>
      </c>
      <c r="F41" s="6" t="n">
        <v>665</v>
      </c>
      <c r="G41" s="6" t="n">
        <v>665</v>
      </c>
      <c r="H41" s="7" t="n">
        <v>0.18</v>
      </c>
      <c r="I41" s="5" t="inlineStr">
        <is>
          <t>Per piece</t>
        </is>
      </c>
      <c r="J41" s="4" t="inlineStr">
        <is>
          <t>Photograph</t>
        </is>
      </c>
    </row>
    <row r="42">
      <c r="A42" s="4" t="n">
        <v>38</v>
      </c>
      <c r="B42" s="5" t="inlineStr">
        <is>
          <t>Tractor Emulsion</t>
        </is>
      </c>
      <c r="C42" s="5" t="inlineStr">
        <is>
          <t>PAIASITRAX87UZ</t>
        </is>
      </c>
      <c r="D42" s="5" t="inlineStr">
        <is>
          <t>Paints &amp; finishes</t>
        </is>
      </c>
      <c r="E42" s="4" t="inlineStr">
        <is>
          <t>Live</t>
        </is>
      </c>
      <c r="F42" s="6" t="n">
        <v>210</v>
      </c>
      <c r="G42" s="6" t="n">
        <v>210</v>
      </c>
      <c r="H42" s="7" t="n">
        <v>0.18</v>
      </c>
      <c r="I42" s="5" t="inlineStr">
        <is>
          <t>Per piece</t>
        </is>
      </c>
      <c r="J42" s="4" t="inlineStr">
        <is>
          <t>Photograph</t>
        </is>
      </c>
    </row>
    <row r="43">
      <c r="A43" s="4" t="n">
        <v>39</v>
      </c>
      <c r="B43" s="5" t="inlineStr">
        <is>
          <t>Asian Paints SmartCare Tile Adhesive, Grey, 30 Kg Bag</t>
        </is>
      </c>
      <c r="C43" s="5" t="inlineStr">
        <is>
          <t>YL663</t>
        </is>
      </c>
      <c r="D43" s="5" t="inlineStr">
        <is>
          <t>Tiling &amp; adhesives</t>
        </is>
      </c>
      <c r="E43" s="4" t="inlineStr">
        <is>
          <t>Live</t>
        </is>
      </c>
      <c r="F43" s="6" t="n">
        <v>370</v>
      </c>
      <c r="G43" s="6" t="n">
        <v>370</v>
      </c>
      <c r="H43" s="7" t="n">
        <v>0.18</v>
      </c>
      <c r="I43" s="5" t="inlineStr">
        <is>
          <t>Per bag</t>
        </is>
      </c>
      <c r="J43" s="4" t="inlineStr">
        <is>
          <t>Photograph</t>
        </is>
      </c>
    </row>
    <row r="44">
      <c r="A44" s="4" t="n">
        <v>40</v>
      </c>
      <c r="B44" s="5" t="inlineStr">
        <is>
          <t>Masking tape</t>
        </is>
      </c>
      <c r="C44" s="5" t="inlineStr">
        <is>
          <t>ADHASIMAS70QH0</t>
        </is>
      </c>
      <c r="D44" s="5" t="inlineStr">
        <is>
          <t>Tiling &amp; adhesives</t>
        </is>
      </c>
      <c r="E44" s="4" t="inlineStr">
        <is>
          <t>Live</t>
        </is>
      </c>
      <c r="F44" s="6" t="n">
        <v>40</v>
      </c>
      <c r="G44" s="6" t="n">
        <v>40</v>
      </c>
      <c r="H44" s="7" t="n">
        <v>0.18</v>
      </c>
      <c r="I44" s="5" t="inlineStr">
        <is>
          <t>Per piece</t>
        </is>
      </c>
      <c r="J44" s="4" t="inlineStr">
        <is>
          <t>Photograph</t>
        </is>
      </c>
    </row>
    <row r="45">
      <c r="A45" s="4" t="n">
        <v>41</v>
      </c>
      <c r="B45" s="5" t="inlineStr">
        <is>
          <t>SmartCare Hydro Loc Extreme</t>
        </is>
      </c>
      <c r="C45" s="5" t="inlineStr">
        <is>
          <t>WATASISMA2JL8G</t>
        </is>
      </c>
      <c r="D45" s="5" t="inlineStr">
        <is>
          <t>Tiling &amp; adhesives</t>
        </is>
      </c>
      <c r="E45" s="4" t="inlineStr">
        <is>
          <t>Live</t>
        </is>
      </c>
      <c r="F45" s="6" t="n">
        <v>2139</v>
      </c>
      <c r="G45" s="6" t="n">
        <v>2139</v>
      </c>
      <c r="H45" s="7" t="n">
        <v>0.18</v>
      </c>
      <c r="I45" s="5" t="inlineStr">
        <is>
          <t>Per piece</t>
        </is>
      </c>
      <c r="J45" s="4" t="inlineStr">
        <is>
          <t>Photograph</t>
        </is>
      </c>
    </row>
    <row r="46">
      <c r="A46" s="4" t="n">
        <v>42</v>
      </c>
      <c r="B46" s="5" t="inlineStr">
        <is>
          <t>Asian Paints TruCare Brush</t>
        </is>
      </c>
      <c r="C46" s="5" t="inlineStr">
        <is>
          <t>RGB6G</t>
        </is>
      </c>
      <c r="D46" s="5" t="inlineStr">
        <is>
          <t>Tools &amp; safety</t>
        </is>
      </c>
      <c r="E46" s="4" t="inlineStr">
        <is>
          <t>Live</t>
        </is>
      </c>
      <c r="F46" s="6" t="n">
        <v>20</v>
      </c>
      <c r="G46" s="6" t="n">
        <v>20</v>
      </c>
      <c r="H46" s="7" t="n">
        <v>0.18</v>
      </c>
      <c r="I46" s="5" t="inlineStr">
        <is>
          <t>Per piece</t>
        </is>
      </c>
      <c r="J46" s="4" t="inlineStr">
        <is>
          <t>Photograph</t>
        </is>
      </c>
    </row>
    <row r="47">
      <c r="A47" s="4" t="n">
        <v>43</v>
      </c>
      <c r="B47" s="5" t="inlineStr">
        <is>
          <t>Asian Paints TruCare Economy Multipurpose Putty Mixer M02, 800W High-Torque Rotary Tool</t>
        </is>
      </c>
      <c r="C47" s="5" t="inlineStr">
        <is>
          <t>ZVXMR</t>
        </is>
      </c>
      <c r="D47" s="5" t="inlineStr">
        <is>
          <t>Tools &amp; safety</t>
        </is>
      </c>
      <c r="E47" s="4" t="inlineStr">
        <is>
          <t>Live</t>
        </is>
      </c>
      <c r="F47" s="6" t="n">
        <v>2800</v>
      </c>
      <c r="G47" s="6" t="n">
        <v>2800</v>
      </c>
      <c r="H47" s="7" t="n">
        <v>0.18</v>
      </c>
      <c r="I47" s="5" t="inlineStr">
        <is>
          <t>Per piece</t>
        </is>
      </c>
      <c r="J47" s="4" t="inlineStr">
        <is>
          <t>Photograph</t>
        </is>
      </c>
    </row>
    <row r="48">
      <c r="A48" s="4" t="n">
        <v>44</v>
      </c>
      <c r="B48" s="5" t="inlineStr">
        <is>
          <t>Asian Paints TruCare Roller</t>
        </is>
      </c>
      <c r="C48" s="5" t="inlineStr">
        <is>
          <t>VJKP5</t>
        </is>
      </c>
      <c r="D48" s="5" t="inlineStr">
        <is>
          <t>Tools &amp; safety</t>
        </is>
      </c>
      <c r="E48" s="4" t="inlineStr">
        <is>
          <t>Live</t>
        </is>
      </c>
      <c r="F48" s="6" t="n">
        <v>70</v>
      </c>
      <c r="G48" s="6" t="n">
        <v>70</v>
      </c>
      <c r="H48" s="7" t="n">
        <v>0.18</v>
      </c>
      <c r="I48" s="5" t="inlineStr">
        <is>
          <t>Per piece</t>
        </is>
      </c>
      <c r="J48" s="4" t="inlineStr">
        <is>
          <t>Photograph</t>
        </is>
      </c>
    </row>
    <row r="49">
      <c r="A49" s="4" t="n">
        <v>45</v>
      </c>
      <c r="B49" s="5" t="inlineStr">
        <is>
          <t>Asian Paints TruCare Roller Refill</t>
        </is>
      </c>
      <c r="C49" s="5" t="inlineStr">
        <is>
          <t>EVTE7</t>
        </is>
      </c>
      <c r="D49" s="5" t="inlineStr">
        <is>
          <t>Tools &amp; safety</t>
        </is>
      </c>
      <c r="E49" s="4" t="inlineStr">
        <is>
          <t>Live</t>
        </is>
      </c>
      <c r="F49" s="6" t="n">
        <v>55</v>
      </c>
      <c r="G49" s="6" t="n">
        <v>55</v>
      </c>
      <c r="H49" s="7" t="n">
        <v>0.18</v>
      </c>
      <c r="I49" s="5" t="inlineStr">
        <is>
          <t>Per piece</t>
        </is>
      </c>
      <c r="J49" s="4" t="inlineStr">
        <is>
          <t>Photograph</t>
        </is>
      </c>
    </row>
    <row r="50">
      <c r="A50" s="4" t="n">
        <v>46</v>
      </c>
      <c r="B50" s="5" t="inlineStr">
        <is>
          <t>Asian Paints TruStar Sanding Paper</t>
        </is>
      </c>
      <c r="C50" s="5" t="inlineStr">
        <is>
          <t>7253J</t>
        </is>
      </c>
      <c r="D50" s="5" t="inlineStr">
        <is>
          <t>Tools &amp; safety</t>
        </is>
      </c>
      <c r="E50" s="4" t="inlineStr">
        <is>
          <t>Live</t>
        </is>
      </c>
      <c r="F50" s="6" t="n">
        <v>12</v>
      </c>
      <c r="G50" s="6" t="n">
        <v>12</v>
      </c>
      <c r="H50" s="7" t="n">
        <v>0.18</v>
      </c>
      <c r="I50" s="5" t="inlineStr">
        <is>
          <t>Per piece</t>
        </is>
      </c>
      <c r="J50" s="4" t="inlineStr">
        <is>
          <t>Photograph</t>
        </is>
      </c>
    </row>
    <row r="51">
      <c r="A51" s="4" t="n">
        <v>47</v>
      </c>
      <c r="B51" s="5" t="inlineStr">
        <is>
          <t>Asian Paints Trugrip Super Masking Tape ( Abro Tape ), 3/4''</t>
        </is>
      </c>
      <c r="C51" s="5" t="inlineStr">
        <is>
          <t>3CDSX</t>
        </is>
      </c>
      <c r="D51" s="5" t="inlineStr">
        <is>
          <t>Tools &amp; safety</t>
        </is>
      </c>
      <c r="E51" s="4" t="inlineStr">
        <is>
          <t>Live</t>
        </is>
      </c>
      <c r="F51" s="6" t="n">
        <v>30</v>
      </c>
      <c r="G51" s="6" t="n">
        <v>30</v>
      </c>
      <c r="H51" s="7" t="n">
        <v>0.18</v>
      </c>
      <c r="I51" s="5" t="inlineStr">
        <is>
          <t>Per piece</t>
        </is>
      </c>
      <c r="J51" s="4" t="inlineStr">
        <is>
          <t>Photograph</t>
        </is>
      </c>
    </row>
    <row r="52">
      <c r="A52" s="4" t="n">
        <v>48</v>
      </c>
      <c r="B52" s="5" t="inlineStr">
        <is>
          <t>Asian Paints SmartCare Damp Proof Advanced</t>
        </is>
      </c>
      <c r="C52" s="5" t="inlineStr">
        <is>
          <t>5VCH5</t>
        </is>
      </c>
      <c r="D52" s="5" t="inlineStr">
        <is>
          <t>Waterproofing</t>
        </is>
      </c>
      <c r="E52" s="4" t="inlineStr">
        <is>
          <t>Live</t>
        </is>
      </c>
      <c r="F52" s="6" t="n">
        <v>1299</v>
      </c>
      <c r="G52" s="6" t="n">
        <v>1299</v>
      </c>
      <c r="H52" s="7" t="n">
        <v>0.18</v>
      </c>
      <c r="I52" s="5" t="inlineStr">
        <is>
          <t>Per piece</t>
        </is>
      </c>
      <c r="J52" s="4" t="inlineStr">
        <is>
          <t>Photograph</t>
        </is>
      </c>
    </row>
    <row r="53">
      <c r="A53" s="4" t="n">
        <v>49</v>
      </c>
      <c r="B53" s="5" t="inlineStr">
        <is>
          <t>Asian Paints SmartCare Damp Sheath Exterior Advanced Waterproofing Primer, 20L</t>
        </is>
      </c>
      <c r="C53" s="5" t="inlineStr">
        <is>
          <t>XR8PZ</t>
        </is>
      </c>
      <c r="D53" s="5" t="inlineStr">
        <is>
          <t>Waterproofing</t>
        </is>
      </c>
      <c r="E53" s="4" t="inlineStr">
        <is>
          <t>Live</t>
        </is>
      </c>
      <c r="F53" s="6" t="n">
        <v>3750</v>
      </c>
      <c r="G53" s="6" t="n">
        <v>3750</v>
      </c>
      <c r="H53" s="7" t="n">
        <v>0.18</v>
      </c>
      <c r="I53" s="5" t="inlineStr">
        <is>
          <t>Per piece</t>
        </is>
      </c>
      <c r="J53" s="4" t="inlineStr">
        <is>
          <t>Photograph</t>
        </is>
      </c>
    </row>
    <row r="54">
      <c r="A54" s="4" t="n">
        <v>50</v>
      </c>
      <c r="B54" s="5" t="inlineStr">
        <is>
          <t>Asian Paints SmartCare Damp Sheath Interior Advanced Waterproofing Primer, 20L</t>
        </is>
      </c>
      <c r="C54" s="5" t="inlineStr">
        <is>
          <t>SQW2A</t>
        </is>
      </c>
      <c r="D54" s="5" t="inlineStr">
        <is>
          <t>Waterproofing</t>
        </is>
      </c>
      <c r="E54" s="4" t="inlineStr">
        <is>
          <t>Live</t>
        </is>
      </c>
      <c r="F54" s="6" t="n">
        <v>3250</v>
      </c>
      <c r="G54" s="6" t="n">
        <v>3250</v>
      </c>
      <c r="H54" s="7" t="n">
        <v>0.18</v>
      </c>
      <c r="I54" s="5" t="inlineStr">
        <is>
          <t>Per piece</t>
        </is>
      </c>
      <c r="J54" s="4" t="inlineStr">
        <is>
          <t>Photograph</t>
        </is>
      </c>
    </row>
    <row r="55">
      <c r="A55" s="4" t="n">
        <v>51</v>
      </c>
      <c r="B55" s="5" t="inlineStr">
        <is>
          <t>Asian Paints Smartcare Damp Proof Teracota,20 Litre</t>
        </is>
      </c>
      <c r="C55" s="5" t="inlineStr">
        <is>
          <t>CG64T</t>
        </is>
      </c>
      <c r="D55" s="5" t="inlineStr">
        <is>
          <t>Waterproofing</t>
        </is>
      </c>
      <c r="E55" s="4" t="inlineStr">
        <is>
          <t>Live</t>
        </is>
      </c>
      <c r="F55" s="6" t="n">
        <v>6100</v>
      </c>
      <c r="G55" s="6" t="n">
        <v>6100</v>
      </c>
      <c r="H55" s="7" t="n">
        <v>0.18</v>
      </c>
      <c r="I55" s="5" t="inlineStr">
        <is>
          <t>Per piece</t>
        </is>
      </c>
      <c r="J55" s="4" t="inlineStr">
        <is>
          <t>Photograph</t>
        </is>
      </c>
    </row>
    <row r="56">
      <c r="A56" s="8" t="n">
        <v>52</v>
      </c>
      <c r="B56" s="9" t="inlineStr">
        <is>
          <t>Asian Paints Apcolite Premium Satin Enamel</t>
        </is>
      </c>
      <c r="C56" s="9" t="inlineStr">
        <is>
          <t>DK3FN</t>
        </is>
      </c>
      <c r="D56" s="9" t="inlineStr">
        <is>
          <t>Paints &amp; finishes</t>
        </is>
      </c>
      <c r="E56" s="10" t="inlineStr">
        <is>
          <t>Not live</t>
        </is>
      </c>
      <c r="F56" s="11" t="n">
        <v>385</v>
      </c>
      <c r="G56" s="11" t="n">
        <v>385</v>
      </c>
      <c r="H56" s="12" t="n">
        <v>0.18</v>
      </c>
      <c r="I56" s="9" t="inlineStr">
        <is>
          <t>Per piece</t>
        </is>
      </c>
      <c r="J56" s="8" t="inlineStr">
        <is>
          <t>Illustration</t>
        </is>
      </c>
    </row>
    <row r="57">
      <c r="A57" s="8" t="n">
        <v>53</v>
      </c>
      <c r="B57" s="9" t="inlineStr">
        <is>
          <t>Asian Paints TruCare Yellow Metal Primer</t>
        </is>
      </c>
      <c r="C57" s="9" t="inlineStr">
        <is>
          <t>SDP73</t>
        </is>
      </c>
      <c r="D57" s="9" t="inlineStr">
        <is>
          <t>Paints &amp; finishes</t>
        </is>
      </c>
      <c r="E57" s="10" t="inlineStr">
        <is>
          <t>Not live</t>
        </is>
      </c>
      <c r="F57" s="11" t="n">
        <v>240</v>
      </c>
      <c r="G57" s="11" t="n">
        <v>240</v>
      </c>
      <c r="H57" s="12" t="n">
        <v>0.18</v>
      </c>
      <c r="I57" s="9" t="inlineStr">
        <is>
          <t>Per piece</t>
        </is>
      </c>
      <c r="J57" s="8" t="inlineStr">
        <is>
          <t>Illustration</t>
        </is>
      </c>
    </row>
    <row r="58">
      <c r="A58" s="8" t="n">
        <v>54</v>
      </c>
      <c r="B58" s="9" t="inlineStr">
        <is>
          <t>TruCare Yellow Metal Primer</t>
        </is>
      </c>
      <c r="C58" s="9" t="inlineStr">
        <is>
          <t>73</t>
        </is>
      </c>
      <c r="D58" s="9" t="inlineStr">
        <is>
          <t>Paints &amp; finishes</t>
        </is>
      </c>
      <c r="E58" s="10" t="inlineStr">
        <is>
          <t>Not live</t>
        </is>
      </c>
      <c r="F58" s="11" t="n">
        <v>240</v>
      </c>
      <c r="G58" s="11" t="n">
        <v>240</v>
      </c>
      <c r="H58" s="12" t="n">
        <v>0.18</v>
      </c>
      <c r="I58" s="9" t="inlineStr">
        <is>
          <t>Per piece</t>
        </is>
      </c>
      <c r="J58" s="8" t="inlineStr">
        <is>
          <t>None</t>
        </is>
      </c>
    </row>
    <row r="60">
      <c r="B60" s="13" t="inlineStr">
        <is>
          <t>Total products</t>
        </is>
      </c>
      <c r="F60" s="14">
        <f>COUNTA(B5:B58)</f>
        <v/>
      </c>
    </row>
    <row r="61">
      <c r="B61" s="15" t="inlineStr">
        <is>
          <t>Live on the storefront</t>
        </is>
      </c>
      <c r="F61" s="16">
        <f>COUNTIF(E5:E58,"Live")</f>
        <v/>
      </c>
    </row>
    <row r="62">
      <c r="B62" s="15" t="inlineStr">
        <is>
          <t>Not live</t>
        </is>
      </c>
      <c r="F62" s="16">
        <f>COUNTIF(E5:E58,"Not live")</f>
        <v/>
      </c>
    </row>
    <row r="63">
      <c r="B63" s="15" t="inlineStr">
        <is>
          <t>Cheapest live (Rs)</t>
        </is>
      </c>
      <c r="F63" s="16">
        <f>SUMPRODUCT(MIN((E5:E58="Live")*F5:F58+(E5:E58&lt;&gt;"Live")*1E+99))</f>
        <v/>
      </c>
    </row>
    <row r="64">
      <c r="B64" s="15" t="inlineStr">
        <is>
          <t>Dearest live (Rs)</t>
        </is>
      </c>
      <c r="F64" s="16">
        <f>SUMPRODUCT(MAX((E5:E58="Live")*F5:F58))</f>
        <v/>
      </c>
    </row>
    <row r="66">
      <c r="B66" s="2" t="inlineStr">
        <is>
          <t>"Not live" rows are deactivated in the catalogue and do not appear on the storefront; they are listed here because the request was for every Asian Paints product.</t>
        </is>
      </c>
    </row>
    <row r="67">
      <c r="B67" s="2" t="inlineStr">
        <is>
          <t>Price is the cheapest active variant. Source: Quoin Postgres catalogue, brand Asian Paints, read 22 October 2026.</t>
        </is>
      </c>
    </row>
  </sheetData>
  <autoFilter ref="A4:J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2026-10-22T09:12:33Z</dcterms:created>
  <dcterms:modified xsi:type="dcterms:W3CDTF">2026-10-22T09:12:33Z</dcterms:modified>
</cp:coreProperties>
</file>